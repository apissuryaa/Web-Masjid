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afiz\Downloads\"/>
    </mc:Choice>
  </mc:AlternateContent>
  <xr:revisionPtr revIDLastSave="0" documentId="13_ncr:1_{4E4A97D9-B5F4-411F-9EF9-F5144D383C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AN,26" sheetId="1" r:id="rId1"/>
    <sheet name="FEB,26" sheetId="2" r:id="rId2"/>
  </sheets>
  <externalReferences>
    <externalReference r:id="rId3"/>
  </externalReferences>
  <definedNames>
    <definedName name="_xlnm._FilterDatabase" localSheetId="0" hidden="1">'JAN,26'!$A$4:$H$44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" l="1"/>
  <c r="F36" i="2"/>
  <c r="F4" i="2"/>
  <c r="G4" i="2" s="1"/>
  <c r="G35" i="2" s="1"/>
  <c r="E45" i="1"/>
  <c r="F44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38" i="2" l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43" i="1"/>
  <c r="G46" i="1" s="1"/>
</calcChain>
</file>

<file path=xl/sharedStrings.xml><?xml version="1.0" encoding="utf-8"?>
<sst xmlns="http://schemas.openxmlformats.org/spreadsheetml/2006/main" count="168" uniqueCount="68">
  <si>
    <t>PERIODE :</t>
  </si>
  <si>
    <t>JANUARI 2026</t>
  </si>
  <si>
    <t>NO</t>
  </si>
  <si>
    <t>DATE</t>
  </si>
  <si>
    <t>IR</t>
  </si>
  <si>
    <t>DESKRIPSI</t>
  </si>
  <si>
    <t>DEBET</t>
  </si>
  <si>
    <t>KREDIT</t>
  </si>
  <si>
    <t>SALDO</t>
  </si>
  <si>
    <t>REMARKS</t>
  </si>
  <si>
    <t>SAL</t>
  </si>
  <si>
    <t>SALDO DESEMBER 2025</t>
  </si>
  <si>
    <t>VAR-8</t>
  </si>
  <si>
    <t>BISYAROH KHOTIB JUMAT</t>
  </si>
  <si>
    <t>INF-J</t>
  </si>
  <si>
    <t>INFAQ JUMAT</t>
  </si>
  <si>
    <t>FC-1</t>
  </si>
  <si>
    <t>BISYAROH MAHASISWA</t>
  </si>
  <si>
    <t>VAR-9</t>
  </si>
  <si>
    <t xml:space="preserve">BISYAROH USTADZ KAJIAN </t>
  </si>
  <si>
    <t>VAR-4</t>
  </si>
  <si>
    <t>PEMBELIAN BANNER 3 Lbr</t>
  </si>
  <si>
    <t>JASA PASANG BANNER</t>
  </si>
  <si>
    <t>INF-S</t>
  </si>
  <si>
    <t>INFAQ SUBUH</t>
  </si>
  <si>
    <t>VAR-3</t>
  </si>
  <si>
    <t>PEMBELIAN AIR MINERAL 2 DUS</t>
  </si>
  <si>
    <t>BISYAROH MARBOT MASJID 2MP</t>
  </si>
  <si>
    <t xml:space="preserve">PEMBELIAN AIR MINERAL </t>
  </si>
  <si>
    <t>VAR-2</t>
  </si>
  <si>
    <t>PEMBELIAN SILENT</t>
  </si>
  <si>
    <t>VAR-1</t>
  </si>
  <si>
    <t>PEMBELIAN KABEL &amp; ADAPTOR</t>
  </si>
  <si>
    <t>SERVICE &amp; STEAM AC 2 UNIT</t>
  </si>
  <si>
    <t>GANTI SENSOR AC</t>
  </si>
  <si>
    <t>SETTING BREACKET INDOOR AC</t>
  </si>
  <si>
    <t>PEMBELIAN BENSIN GENSET 5L</t>
  </si>
  <si>
    <t>VAR-5</t>
  </si>
  <si>
    <t>PRINT STICKER KALENG AKHIRAT</t>
  </si>
  <si>
    <t>FC-3</t>
  </si>
  <si>
    <t>DONASI TPA AL HUDA</t>
  </si>
  <si>
    <t>KONSUMSI RAPAT PERSIAPAN ROMADHON</t>
  </si>
  <si>
    <t>PEMBELIAN LAMPU 2 PCS</t>
  </si>
  <si>
    <t>PEMBELIAN AIR MINERAL 10 DUS</t>
  </si>
  <si>
    <t>PEMBELIAN MICROPHONE SHORUS</t>
  </si>
  <si>
    <t>SERVICE MOTOR OPS ( KHARISMA )</t>
  </si>
  <si>
    <t>SISA SALDO DES 2025</t>
  </si>
  <si>
    <t>TOTAL PENDAPATAN</t>
  </si>
  <si>
    <t>TOTAL PENGELUARAN</t>
  </si>
  <si>
    <t>SISA SALDO JANUARI 2026</t>
  </si>
  <si>
    <t>FEBRUARI 2026</t>
  </si>
  <si>
    <t>VAR-10</t>
  </si>
  <si>
    <t>BISYAROH NISFU SYA'BAN</t>
  </si>
  <si>
    <t>FC-2</t>
  </si>
  <si>
    <t>BISYAROH USTADZ KAJIAN</t>
  </si>
  <si>
    <t>VAR-7</t>
  </si>
  <si>
    <t>UANG SAKU MAHASISWA "KAFDA" TIMOR LESTE</t>
  </si>
  <si>
    <t>PEMBELIAN BERAS MASJID</t>
  </si>
  <si>
    <t>FOTOCOPY PROPOSAL ROMADHON 1447 H</t>
  </si>
  <si>
    <t>JILID PROPOSAL 11 EXEMPLAR</t>
  </si>
  <si>
    <t>VAR-6</t>
  </si>
  <si>
    <t>PEMBELIAN ALAT SEMPROT RUMPUT</t>
  </si>
  <si>
    <t>OBAT RUMPUT</t>
  </si>
  <si>
    <t>PEMBELIAN TINTA PRINTER 2 BOTOL</t>
  </si>
  <si>
    <t>FOTOCOPY FORM INFAQ</t>
  </si>
  <si>
    <t>PEMBELIAN KRAN AIR 3 PCS</t>
  </si>
  <si>
    <t>PEMBELIAN ALAT KEBERSIHAN</t>
  </si>
  <si>
    <t>SISA SALDO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</si>
</sst>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p&quot;* #,##0_);_(&quot;Rp&quot;* \(#,##0\);_(&quot;Rp&quot;* &quot;-&quot;_);_(@_)"/>
  </numFmts>
  <fonts count="3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7" fontId="1" fillId="0" borderId="0" xfId="0" quotePrefix="1" applyNumberFormat="1" applyFont="1"/>
    <xf numFmtId="17" fontId="1" fillId="0" borderId="0" xfId="0" quotePrefix="1" applyNumberFormat="1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center"/>
    </xf>
    <xf numFmtId="164" fontId="2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0" borderId="2" xfId="0" applyNumberFormat="1" applyFont="1" applyBorder="1"/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15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SJID%20ALHUDA%202026\LAPORAN%20KAS%20BESAR%20MASJID%20AL%20HUDA%202026.doc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REPORT (2)"/>
      <sheetName val="BANK"/>
      <sheetName val="REKAP"/>
      <sheetName val="DETAIL"/>
      <sheetName val="JAN,26"/>
      <sheetName val="FEB,26"/>
      <sheetName val="MAR,26"/>
      <sheetName val="APR,26"/>
      <sheetName val="MEI,26 "/>
      <sheetName val="JUNI ,26 "/>
      <sheetName val="KALKULATOR"/>
      <sheetName val="DATA P.BAGYO"/>
    </sheetNames>
    <sheetDataSet>
      <sheetData sheetId="0"/>
      <sheetData sheetId="1"/>
      <sheetData sheetId="2"/>
      <sheetData sheetId="3"/>
      <sheetData sheetId="4"/>
      <sheetData sheetId="5">
        <row r="46">
          <cell r="G46">
            <v>2433200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A2" workbookViewId="0">
      <pane ySplit="3" topLeftCell="A27" activePane="bottomLeft" state="frozen"/>
      <selection activeCell="A2" sqref="A2"/>
      <selection pane="bottomLeft" activeCell="B42" sqref="B42"/>
    </sheetView>
  </sheetViews>
  <sheetFormatPr defaultColWidth="17.5546875" defaultRowHeight="15.6" x14ac:dyDescent="0.3"/>
  <cols>
    <col min="1" max="1" width="5.88671875" style="4" customWidth="1"/>
    <col min="2" max="2" width="14.6640625" style="4" bestFit="1" customWidth="1"/>
    <col min="3" max="3" width="8.109375" style="20" bestFit="1" customWidth="1"/>
    <col min="4" max="4" width="42.109375" style="4" bestFit="1" customWidth="1"/>
    <col min="5" max="16384" width="17.5546875" style="4"/>
  </cols>
  <sheetData>
    <row r="1" spans="1:9" x14ac:dyDescent="0.3">
      <c r="A1" s="1" t="s">
        <v>0</v>
      </c>
      <c r="B1" s="2" t="s">
        <v>1</v>
      </c>
      <c r="C1" s="3"/>
    </row>
    <row r="2" spans="1:9" x14ac:dyDescent="0.3">
      <c r="A2" s="1"/>
      <c r="B2" s="2"/>
      <c r="C2" s="3"/>
      <c r="G2" s="1" t="s">
        <v>0</v>
      </c>
      <c r="H2" s="2" t="s">
        <v>1</v>
      </c>
    </row>
    <row r="4" spans="1:9" ht="37.5" customHeight="1" thickBot="1" x14ac:dyDescent="0.3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5" t="s">
        <v>9</v>
      </c>
    </row>
    <row r="5" spans="1:9" ht="16.2" thickTop="1" x14ac:dyDescent="0.3">
      <c r="A5" s="7">
        <v>1</v>
      </c>
      <c r="B5" s="8">
        <v>46023</v>
      </c>
      <c r="C5" s="9" t="s">
        <v>10</v>
      </c>
      <c r="D5" s="10" t="s">
        <v>11</v>
      </c>
      <c r="E5" s="11"/>
      <c r="F5" s="11">
        <v>5148200</v>
      </c>
      <c r="G5" s="11">
        <f>F5</f>
        <v>5148200</v>
      </c>
      <c r="H5" s="10"/>
    </row>
    <row r="6" spans="1:9" x14ac:dyDescent="0.3">
      <c r="A6" s="7">
        <v>2</v>
      </c>
      <c r="B6" s="8">
        <v>46024</v>
      </c>
      <c r="C6" s="12" t="s">
        <v>12</v>
      </c>
      <c r="D6" s="10" t="s">
        <v>13</v>
      </c>
      <c r="E6" s="11">
        <v>450000</v>
      </c>
      <c r="F6" s="11"/>
      <c r="G6" s="11">
        <f t="shared" ref="G6:G42" si="0">IF(AND(E6="",F6=""),"",(G5-E6+F6))</f>
        <v>4698200</v>
      </c>
      <c r="H6" s="10"/>
    </row>
    <row r="7" spans="1:9" x14ac:dyDescent="0.3">
      <c r="A7" s="7">
        <v>3</v>
      </c>
      <c r="B7" s="8">
        <v>46024</v>
      </c>
      <c r="C7" s="8" t="s">
        <v>14</v>
      </c>
      <c r="D7" s="10" t="s">
        <v>15</v>
      </c>
      <c r="E7" s="11"/>
      <c r="F7" s="11">
        <v>440000</v>
      </c>
      <c r="G7" s="11">
        <f t="shared" si="0"/>
        <v>5138200</v>
      </c>
      <c r="H7" s="10"/>
    </row>
    <row r="8" spans="1:9" x14ac:dyDescent="0.3">
      <c r="A8" s="7">
        <v>4</v>
      </c>
      <c r="B8" s="8">
        <v>46026</v>
      </c>
      <c r="C8" s="8" t="s">
        <v>16</v>
      </c>
      <c r="D8" s="10" t="s">
        <v>17</v>
      </c>
      <c r="E8" s="11">
        <v>300000</v>
      </c>
      <c r="F8" s="11"/>
      <c r="G8" s="11">
        <f t="shared" si="0"/>
        <v>4838200</v>
      </c>
      <c r="H8" s="10"/>
    </row>
    <row r="9" spans="1:9" x14ac:dyDescent="0.3">
      <c r="A9" s="7">
        <v>5</v>
      </c>
      <c r="B9" s="8">
        <v>46026</v>
      </c>
      <c r="C9" s="12" t="s">
        <v>18</v>
      </c>
      <c r="D9" s="10" t="s">
        <v>19</v>
      </c>
      <c r="E9" s="11">
        <v>450000</v>
      </c>
      <c r="F9" s="11"/>
      <c r="G9" s="11">
        <f t="shared" si="0"/>
        <v>4388200</v>
      </c>
      <c r="H9" s="10"/>
      <c r="I9" s="13"/>
    </row>
    <row r="10" spans="1:9" x14ac:dyDescent="0.3">
      <c r="A10" s="7">
        <v>6</v>
      </c>
      <c r="B10" s="8">
        <v>46028</v>
      </c>
      <c r="C10" s="14" t="s">
        <v>20</v>
      </c>
      <c r="D10" s="10" t="s">
        <v>21</v>
      </c>
      <c r="E10" s="11">
        <v>300000</v>
      </c>
      <c r="F10" s="11"/>
      <c r="G10" s="11">
        <f t="shared" si="0"/>
        <v>4088200</v>
      </c>
      <c r="H10" s="10"/>
    </row>
    <row r="11" spans="1:9" x14ac:dyDescent="0.3">
      <c r="A11" s="7">
        <v>7</v>
      </c>
      <c r="B11" s="8">
        <v>46028</v>
      </c>
      <c r="C11" s="14" t="s">
        <v>20</v>
      </c>
      <c r="D11" s="10" t="s">
        <v>22</v>
      </c>
      <c r="E11" s="11">
        <v>150000</v>
      </c>
      <c r="F11" s="11"/>
      <c r="G11" s="11">
        <f t="shared" si="0"/>
        <v>3938200</v>
      </c>
      <c r="H11" s="10"/>
    </row>
    <row r="12" spans="1:9" x14ac:dyDescent="0.3">
      <c r="A12" s="7">
        <v>8</v>
      </c>
      <c r="B12" s="8">
        <v>46028</v>
      </c>
      <c r="C12" s="12" t="s">
        <v>12</v>
      </c>
      <c r="D12" s="10" t="s">
        <v>13</v>
      </c>
      <c r="E12" s="11">
        <v>450000</v>
      </c>
      <c r="F12" s="11"/>
      <c r="G12" s="11">
        <f t="shared" si="0"/>
        <v>3488200</v>
      </c>
      <c r="H12" s="10"/>
    </row>
    <row r="13" spans="1:9" x14ac:dyDescent="0.3">
      <c r="A13" s="7">
        <v>9</v>
      </c>
      <c r="B13" s="8">
        <v>46028</v>
      </c>
      <c r="C13" s="8" t="s">
        <v>23</v>
      </c>
      <c r="D13" s="10" t="s">
        <v>24</v>
      </c>
      <c r="E13" s="11"/>
      <c r="F13" s="11">
        <v>1753000</v>
      </c>
      <c r="G13" s="11">
        <f t="shared" si="0"/>
        <v>5241200</v>
      </c>
      <c r="H13" s="10"/>
    </row>
    <row r="14" spans="1:9" x14ac:dyDescent="0.3">
      <c r="A14" s="7">
        <v>10</v>
      </c>
      <c r="B14" s="8">
        <v>46028</v>
      </c>
      <c r="C14" s="14" t="s">
        <v>25</v>
      </c>
      <c r="D14" s="10" t="s">
        <v>26</v>
      </c>
      <c r="E14" s="11">
        <v>48000</v>
      </c>
      <c r="F14" s="11"/>
      <c r="G14" s="11">
        <f t="shared" si="0"/>
        <v>5193200</v>
      </c>
      <c r="H14" s="10"/>
      <c r="I14" s="13"/>
    </row>
    <row r="15" spans="1:9" x14ac:dyDescent="0.3">
      <c r="A15" s="7">
        <v>11</v>
      </c>
      <c r="B15" s="8">
        <v>46028</v>
      </c>
      <c r="C15" s="8" t="s">
        <v>14</v>
      </c>
      <c r="D15" s="10" t="s">
        <v>15</v>
      </c>
      <c r="E15" s="11"/>
      <c r="F15" s="11">
        <v>301000</v>
      </c>
      <c r="G15" s="11">
        <f t="shared" si="0"/>
        <v>5494200</v>
      </c>
      <c r="H15" s="10"/>
    </row>
    <row r="16" spans="1:9" x14ac:dyDescent="0.3">
      <c r="A16" s="7">
        <v>12</v>
      </c>
      <c r="B16" s="8">
        <v>46033</v>
      </c>
      <c r="C16" s="12" t="s">
        <v>18</v>
      </c>
      <c r="D16" s="10" t="s">
        <v>19</v>
      </c>
      <c r="E16" s="11">
        <v>450000</v>
      </c>
      <c r="F16" s="11"/>
      <c r="G16" s="11">
        <f t="shared" si="0"/>
        <v>5044200</v>
      </c>
      <c r="H16" s="10"/>
    </row>
    <row r="17" spans="1:9" x14ac:dyDescent="0.3">
      <c r="A17" s="7">
        <v>13</v>
      </c>
      <c r="B17" s="8">
        <v>46037</v>
      </c>
      <c r="C17" s="8" t="s">
        <v>16</v>
      </c>
      <c r="D17" s="10" t="s">
        <v>27</v>
      </c>
      <c r="E17" s="11">
        <v>3100000</v>
      </c>
      <c r="F17" s="11"/>
      <c r="G17" s="11">
        <f t="shared" si="0"/>
        <v>1944200</v>
      </c>
      <c r="H17" s="10"/>
    </row>
    <row r="18" spans="1:9" x14ac:dyDescent="0.3">
      <c r="A18" s="7">
        <v>14</v>
      </c>
      <c r="B18" s="8">
        <v>46037</v>
      </c>
      <c r="C18" s="14" t="s">
        <v>25</v>
      </c>
      <c r="D18" s="10" t="s">
        <v>28</v>
      </c>
      <c r="E18" s="11">
        <v>148000</v>
      </c>
      <c r="F18" s="11"/>
      <c r="G18" s="11">
        <f t="shared" si="0"/>
        <v>1796200</v>
      </c>
      <c r="H18" s="10"/>
    </row>
    <row r="19" spans="1:9" x14ac:dyDescent="0.3">
      <c r="A19" s="7">
        <v>15</v>
      </c>
      <c r="B19" s="8">
        <v>46037</v>
      </c>
      <c r="C19" s="12" t="s">
        <v>12</v>
      </c>
      <c r="D19" s="10" t="s">
        <v>13</v>
      </c>
      <c r="E19" s="11">
        <v>450000</v>
      </c>
      <c r="F19" s="11"/>
      <c r="G19" s="11">
        <f t="shared" si="0"/>
        <v>1346200</v>
      </c>
      <c r="H19" s="10"/>
    </row>
    <row r="20" spans="1:9" x14ac:dyDescent="0.3">
      <c r="A20" s="7">
        <v>16</v>
      </c>
      <c r="B20" s="8">
        <v>46037</v>
      </c>
      <c r="C20" s="8" t="s">
        <v>23</v>
      </c>
      <c r="D20" s="10" t="s">
        <v>24</v>
      </c>
      <c r="E20" s="11"/>
      <c r="F20" s="11">
        <v>1286500</v>
      </c>
      <c r="G20" s="11">
        <f t="shared" si="0"/>
        <v>2632700</v>
      </c>
      <c r="H20" s="10"/>
    </row>
    <row r="21" spans="1:9" x14ac:dyDescent="0.3">
      <c r="A21" s="7">
        <v>17</v>
      </c>
      <c r="B21" s="8">
        <v>46037</v>
      </c>
      <c r="C21" s="14" t="s">
        <v>29</v>
      </c>
      <c r="D21" s="10" t="s">
        <v>30</v>
      </c>
      <c r="E21" s="11">
        <v>15000</v>
      </c>
      <c r="F21" s="11"/>
      <c r="G21" s="11">
        <f t="shared" si="0"/>
        <v>2617700</v>
      </c>
      <c r="H21" s="10"/>
    </row>
    <row r="22" spans="1:9" x14ac:dyDescent="0.3">
      <c r="A22" s="7">
        <v>18</v>
      </c>
      <c r="B22" s="8">
        <v>46037</v>
      </c>
      <c r="C22" s="14" t="s">
        <v>31</v>
      </c>
      <c r="D22" s="10" t="s">
        <v>32</v>
      </c>
      <c r="E22" s="11">
        <v>49000</v>
      </c>
      <c r="F22" s="11"/>
      <c r="G22" s="11">
        <f t="shared" si="0"/>
        <v>2568700</v>
      </c>
      <c r="H22" s="10"/>
    </row>
    <row r="23" spans="1:9" x14ac:dyDescent="0.3">
      <c r="A23" s="7">
        <v>19</v>
      </c>
      <c r="B23" s="8">
        <v>46037</v>
      </c>
      <c r="C23" s="14" t="s">
        <v>29</v>
      </c>
      <c r="D23" s="10" t="s">
        <v>33</v>
      </c>
      <c r="E23" s="11">
        <v>130000</v>
      </c>
      <c r="F23" s="11"/>
      <c r="G23" s="11">
        <f t="shared" si="0"/>
        <v>2438700</v>
      </c>
      <c r="H23" s="10"/>
    </row>
    <row r="24" spans="1:9" x14ac:dyDescent="0.3">
      <c r="A24" s="7">
        <v>20</v>
      </c>
      <c r="B24" s="8">
        <v>46037</v>
      </c>
      <c r="C24" s="14" t="s">
        <v>29</v>
      </c>
      <c r="D24" s="10" t="s">
        <v>34</v>
      </c>
      <c r="E24" s="11">
        <v>125000</v>
      </c>
      <c r="F24" s="11"/>
      <c r="G24" s="11">
        <f t="shared" si="0"/>
        <v>2313700</v>
      </c>
      <c r="H24" s="10"/>
    </row>
    <row r="25" spans="1:9" x14ac:dyDescent="0.3">
      <c r="A25" s="7">
        <v>21</v>
      </c>
      <c r="B25" s="8">
        <v>46037</v>
      </c>
      <c r="C25" s="14" t="s">
        <v>29</v>
      </c>
      <c r="D25" s="10" t="s">
        <v>35</v>
      </c>
      <c r="E25" s="11">
        <v>75000</v>
      </c>
      <c r="F25" s="11"/>
      <c r="G25" s="11">
        <f t="shared" si="0"/>
        <v>2238700</v>
      </c>
      <c r="H25" s="10"/>
    </row>
    <row r="26" spans="1:9" x14ac:dyDescent="0.3">
      <c r="A26" s="7">
        <v>22</v>
      </c>
      <c r="B26" s="8">
        <v>46037</v>
      </c>
      <c r="C26" s="8" t="s">
        <v>23</v>
      </c>
      <c r="D26" s="10" t="s">
        <v>24</v>
      </c>
      <c r="E26" s="11"/>
      <c r="F26" s="11">
        <v>1272500</v>
      </c>
      <c r="G26" s="11">
        <f t="shared" si="0"/>
        <v>3511200</v>
      </c>
      <c r="H26" s="10"/>
    </row>
    <row r="27" spans="1:9" x14ac:dyDescent="0.3">
      <c r="A27" s="7">
        <v>23</v>
      </c>
      <c r="B27" s="8">
        <v>46037</v>
      </c>
      <c r="C27" s="14" t="s">
        <v>29</v>
      </c>
      <c r="D27" s="10" t="s">
        <v>36</v>
      </c>
      <c r="E27" s="11">
        <v>60000</v>
      </c>
      <c r="F27" s="11"/>
      <c r="G27" s="11">
        <f t="shared" si="0"/>
        <v>3451200</v>
      </c>
      <c r="H27" s="10"/>
      <c r="I27" s="13"/>
    </row>
    <row r="28" spans="1:9" x14ac:dyDescent="0.3">
      <c r="A28" s="7">
        <v>24</v>
      </c>
      <c r="B28" s="8">
        <v>46037</v>
      </c>
      <c r="C28" s="12" t="s">
        <v>12</v>
      </c>
      <c r="D28" s="10" t="s">
        <v>13</v>
      </c>
      <c r="E28" s="11">
        <v>450000</v>
      </c>
      <c r="F28" s="11"/>
      <c r="G28" s="11">
        <f t="shared" si="0"/>
        <v>3001200</v>
      </c>
      <c r="H28" s="10"/>
    </row>
    <row r="29" spans="1:9" x14ac:dyDescent="0.3">
      <c r="A29" s="7">
        <v>25</v>
      </c>
      <c r="B29" s="8">
        <v>46037</v>
      </c>
      <c r="C29" s="8" t="s">
        <v>14</v>
      </c>
      <c r="D29" s="10" t="s">
        <v>15</v>
      </c>
      <c r="E29" s="11"/>
      <c r="F29" s="11">
        <v>743500</v>
      </c>
      <c r="G29" s="11">
        <f t="shared" si="0"/>
        <v>3744700</v>
      </c>
      <c r="H29" s="10"/>
    </row>
    <row r="30" spans="1:9" x14ac:dyDescent="0.3">
      <c r="A30" s="7">
        <v>26</v>
      </c>
      <c r="B30" s="8">
        <v>46037</v>
      </c>
      <c r="C30" s="8" t="s">
        <v>14</v>
      </c>
      <c r="D30" s="10" t="s">
        <v>15</v>
      </c>
      <c r="E30" s="11"/>
      <c r="F30" s="11">
        <v>480000</v>
      </c>
      <c r="G30" s="11">
        <f t="shared" si="0"/>
        <v>4224700</v>
      </c>
      <c r="H30" s="10"/>
    </row>
    <row r="31" spans="1:9" x14ac:dyDescent="0.3">
      <c r="A31" s="7">
        <v>27</v>
      </c>
      <c r="B31" s="8">
        <v>46037</v>
      </c>
      <c r="C31" s="14" t="s">
        <v>37</v>
      </c>
      <c r="D31" s="10" t="s">
        <v>38</v>
      </c>
      <c r="E31" s="11">
        <v>130000</v>
      </c>
      <c r="F31" s="11"/>
      <c r="G31" s="11">
        <f t="shared" si="0"/>
        <v>4094700</v>
      </c>
      <c r="H31" s="10"/>
    </row>
    <row r="32" spans="1:9" x14ac:dyDescent="0.3">
      <c r="A32" s="7">
        <v>28</v>
      </c>
      <c r="B32" s="8">
        <v>46037</v>
      </c>
      <c r="C32" s="14" t="s">
        <v>39</v>
      </c>
      <c r="D32" s="10" t="s">
        <v>40</v>
      </c>
      <c r="E32" s="11">
        <v>1000000</v>
      </c>
      <c r="F32" s="11"/>
      <c r="G32" s="11">
        <f t="shared" si="0"/>
        <v>3094700</v>
      </c>
      <c r="H32" s="10"/>
    </row>
    <row r="33" spans="1:9" x14ac:dyDescent="0.3">
      <c r="A33" s="7">
        <v>29</v>
      </c>
      <c r="B33" s="8">
        <v>46037</v>
      </c>
      <c r="C33" s="14" t="s">
        <v>25</v>
      </c>
      <c r="D33" s="10" t="s">
        <v>41</v>
      </c>
      <c r="E33" s="11">
        <v>530000</v>
      </c>
      <c r="F33" s="11"/>
      <c r="G33" s="11">
        <f t="shared" si="0"/>
        <v>2564700</v>
      </c>
      <c r="H33" s="10"/>
    </row>
    <row r="34" spans="1:9" x14ac:dyDescent="0.3">
      <c r="A34" s="7">
        <v>30</v>
      </c>
      <c r="B34" s="8">
        <v>46037</v>
      </c>
      <c r="C34" s="12" t="s">
        <v>18</v>
      </c>
      <c r="D34" s="10" t="s">
        <v>19</v>
      </c>
      <c r="E34" s="11">
        <v>450000</v>
      </c>
      <c r="F34" s="11"/>
      <c r="G34" s="11">
        <f t="shared" si="0"/>
        <v>2114700</v>
      </c>
      <c r="H34" s="10"/>
      <c r="I34" s="13"/>
    </row>
    <row r="35" spans="1:9" x14ac:dyDescent="0.3">
      <c r="A35" s="7">
        <v>31</v>
      </c>
      <c r="B35" s="8">
        <v>46037</v>
      </c>
      <c r="C35" s="14" t="s">
        <v>29</v>
      </c>
      <c r="D35" s="10" t="s">
        <v>42</v>
      </c>
      <c r="E35" s="11">
        <v>100000</v>
      </c>
      <c r="F35" s="11"/>
      <c r="G35" s="11">
        <f t="shared" si="0"/>
        <v>2014700</v>
      </c>
      <c r="H35" s="10"/>
    </row>
    <row r="36" spans="1:9" x14ac:dyDescent="0.3">
      <c r="A36" s="7">
        <v>32</v>
      </c>
      <c r="B36" s="8">
        <v>46037</v>
      </c>
      <c r="C36" s="14" t="s">
        <v>25</v>
      </c>
      <c r="D36" s="10" t="s">
        <v>43</v>
      </c>
      <c r="E36" s="11">
        <v>230000</v>
      </c>
      <c r="F36" s="11"/>
      <c r="G36" s="11">
        <f t="shared" si="0"/>
        <v>1784700</v>
      </c>
      <c r="H36" s="10"/>
    </row>
    <row r="37" spans="1:9" x14ac:dyDescent="0.3">
      <c r="A37" s="7">
        <v>33</v>
      </c>
      <c r="B37" s="8">
        <v>46037</v>
      </c>
      <c r="C37" s="14" t="s">
        <v>31</v>
      </c>
      <c r="D37" s="10" t="s">
        <v>44</v>
      </c>
      <c r="E37" s="11">
        <v>244000</v>
      </c>
      <c r="F37" s="11"/>
      <c r="G37" s="11">
        <f t="shared" si="0"/>
        <v>1540700</v>
      </c>
      <c r="H37" s="10"/>
    </row>
    <row r="38" spans="1:9" x14ac:dyDescent="0.3">
      <c r="A38" s="7">
        <v>34</v>
      </c>
      <c r="B38" s="8">
        <v>46037</v>
      </c>
      <c r="C38" s="8" t="s">
        <v>23</v>
      </c>
      <c r="D38" s="10" t="s">
        <v>24</v>
      </c>
      <c r="E38" s="11"/>
      <c r="F38" s="11">
        <v>1156500</v>
      </c>
      <c r="G38" s="11">
        <f t="shared" si="0"/>
        <v>2697200</v>
      </c>
      <c r="H38" s="10"/>
    </row>
    <row r="39" spans="1:9" x14ac:dyDescent="0.3">
      <c r="A39" s="7">
        <v>35</v>
      </c>
      <c r="B39" s="8">
        <v>46037</v>
      </c>
      <c r="C39" s="12" t="s">
        <v>12</v>
      </c>
      <c r="D39" s="10" t="s">
        <v>13</v>
      </c>
      <c r="E39" s="11">
        <v>450000</v>
      </c>
      <c r="F39" s="11"/>
      <c r="G39" s="11">
        <f t="shared" si="0"/>
        <v>2247200</v>
      </c>
      <c r="H39" s="10"/>
      <c r="I39" s="13"/>
    </row>
    <row r="40" spans="1:9" x14ac:dyDescent="0.3">
      <c r="A40" s="7">
        <v>36</v>
      </c>
      <c r="B40" s="8">
        <v>46037</v>
      </c>
      <c r="C40" s="8" t="s">
        <v>14</v>
      </c>
      <c r="D40" s="10" t="s">
        <v>15</v>
      </c>
      <c r="E40" s="11"/>
      <c r="F40" s="11">
        <v>386000</v>
      </c>
      <c r="G40" s="11">
        <f t="shared" si="0"/>
        <v>2633200</v>
      </c>
      <c r="H40" s="10"/>
    </row>
    <row r="41" spans="1:9" x14ac:dyDescent="0.3">
      <c r="A41" s="7">
        <v>37</v>
      </c>
      <c r="B41" s="8">
        <v>46037</v>
      </c>
      <c r="C41" s="14" t="s">
        <v>29</v>
      </c>
      <c r="D41" s="10" t="s">
        <v>45</v>
      </c>
      <c r="E41" s="11">
        <v>152000</v>
      </c>
      <c r="F41" s="11"/>
      <c r="G41" s="11">
        <f t="shared" si="0"/>
        <v>2481200</v>
      </c>
      <c r="H41" s="10"/>
    </row>
    <row r="42" spans="1:9" x14ac:dyDescent="0.3">
      <c r="A42" s="7">
        <v>38</v>
      </c>
      <c r="B42" s="8">
        <v>46037</v>
      </c>
      <c r="C42" s="14" t="s">
        <v>25</v>
      </c>
      <c r="D42" s="10" t="s">
        <v>26</v>
      </c>
      <c r="E42" s="11">
        <v>48000</v>
      </c>
      <c r="F42" s="11"/>
      <c r="G42" s="11">
        <f t="shared" si="0"/>
        <v>2433200</v>
      </c>
      <c r="H42" s="10"/>
    </row>
    <row r="43" spans="1:9" s="15" customFormat="1" x14ac:dyDescent="0.3">
      <c r="C43" s="16"/>
      <c r="D43" s="17" t="s">
        <v>46</v>
      </c>
      <c r="E43" s="11"/>
      <c r="F43" s="18"/>
      <c r="G43" s="11">
        <f>G5</f>
        <v>5148200</v>
      </c>
    </row>
    <row r="44" spans="1:9" s="15" customFormat="1" x14ac:dyDescent="0.3">
      <c r="C44" s="16"/>
      <c r="D44" s="17" t="s">
        <v>47</v>
      </c>
      <c r="E44" s="11"/>
      <c r="F44" s="11">
        <f>SUM(F6:F42)</f>
        <v>7819000</v>
      </c>
      <c r="G44" s="11"/>
      <c r="H44" s="19"/>
    </row>
    <row r="45" spans="1:9" x14ac:dyDescent="0.3">
      <c r="D45" s="17" t="s">
        <v>48</v>
      </c>
      <c r="E45" s="11">
        <f>SUM(E6:E42)</f>
        <v>10534000</v>
      </c>
      <c r="F45" s="11"/>
      <c r="G45" s="11"/>
    </row>
    <row r="46" spans="1:9" x14ac:dyDescent="0.3">
      <c r="D46" s="17" t="s">
        <v>49</v>
      </c>
      <c r="E46" s="10"/>
      <c r="F46" s="11"/>
      <c r="G46" s="11">
        <f>G43+F44-E45</f>
        <v>2433200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abSelected="1" workbookViewId="0">
      <pane ySplit="3" topLeftCell="A4" activePane="bottomLeft" state="frozen"/>
      <selection pane="bottomLeft" activeCell="D4" sqref="D4"/>
    </sheetView>
  </sheetViews>
  <sheetFormatPr defaultColWidth="17.5546875" defaultRowHeight="15.6" x14ac:dyDescent="0.3"/>
  <cols>
    <col min="1" max="1" width="5.6640625" style="4" customWidth="1"/>
    <col min="2" max="2" width="17.5546875" style="4"/>
    <col min="3" max="3" width="8.88671875" style="4" bestFit="1" customWidth="1"/>
    <col min="4" max="4" width="45.88671875" style="4" bestFit="1" customWidth="1"/>
    <col min="5" max="16384" width="17.5546875" style="4"/>
  </cols>
  <sheetData>
    <row r="1" spans="1:8" x14ac:dyDescent="0.3">
      <c r="C1" s="2"/>
      <c r="G1" s="1" t="s">
        <v>0</v>
      </c>
      <c r="H1" s="2" t="s">
        <v>50</v>
      </c>
    </row>
    <row r="3" spans="1:8" ht="37.5" customHeight="1" thickBot="1" x14ac:dyDescent="0.35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5" t="s">
        <v>9</v>
      </c>
    </row>
    <row r="4" spans="1:8" ht="16.2" thickTop="1" x14ac:dyDescent="0.3">
      <c r="A4" s="7">
        <v>1</v>
      </c>
      <c r="B4" s="8"/>
      <c r="C4" s="21" t="s">
        <v>10</v>
      </c>
      <c r="D4" s="10" t="s">
        <v>49</v>
      </c>
      <c r="E4" s="11"/>
      <c r="F4" s="11">
        <f>'[1]JAN,26'!G46</f>
        <v>2433200</v>
      </c>
      <c r="G4" s="11">
        <f>F4</f>
        <v>2433200</v>
      </c>
      <c r="H4" s="10"/>
    </row>
    <row r="5" spans="1:8" x14ac:dyDescent="0.3">
      <c r="A5" s="7">
        <v>2</v>
      </c>
      <c r="B5" s="8"/>
      <c r="C5" s="8" t="s">
        <v>23</v>
      </c>
      <c r="D5" s="10" t="s">
        <v>24</v>
      </c>
      <c r="E5" s="11"/>
      <c r="F5" s="11">
        <v>1351500</v>
      </c>
      <c r="G5" s="11">
        <f t="shared" ref="G5:G34" si="0">IF(AND(E5="",F5=""),"",(G4-E5+F5))</f>
        <v>3784700</v>
      </c>
      <c r="H5" s="10"/>
    </row>
    <row r="6" spans="1:8" x14ac:dyDescent="0.3">
      <c r="A6" s="7">
        <v>3</v>
      </c>
      <c r="B6" s="8"/>
      <c r="C6" s="12" t="s">
        <v>12</v>
      </c>
      <c r="D6" s="10" t="s">
        <v>13</v>
      </c>
      <c r="E6" s="11">
        <v>450000</v>
      </c>
      <c r="F6" s="11"/>
      <c r="G6" s="11">
        <f t="shared" si="0"/>
        <v>3334700</v>
      </c>
      <c r="H6" s="10"/>
    </row>
    <row r="7" spans="1:8" x14ac:dyDescent="0.3">
      <c r="A7" s="7">
        <v>4</v>
      </c>
      <c r="B7" s="8"/>
      <c r="C7" s="12" t="s">
        <v>51</v>
      </c>
      <c r="D7" s="10" t="s">
        <v>52</v>
      </c>
      <c r="E7" s="11">
        <v>300000</v>
      </c>
      <c r="F7" s="11"/>
      <c r="G7" s="11">
        <f t="shared" si="0"/>
        <v>3034700</v>
      </c>
      <c r="H7" s="10"/>
    </row>
    <row r="8" spans="1:8" x14ac:dyDescent="0.3">
      <c r="A8" s="7">
        <v>5</v>
      </c>
      <c r="B8" s="8"/>
      <c r="C8" s="8" t="s">
        <v>14</v>
      </c>
      <c r="D8" s="10" t="s">
        <v>15</v>
      </c>
      <c r="E8" s="11"/>
      <c r="F8" s="11">
        <v>525000</v>
      </c>
      <c r="G8" s="11">
        <f t="shared" si="0"/>
        <v>3559700</v>
      </c>
      <c r="H8" s="10"/>
    </row>
    <row r="9" spans="1:8" x14ac:dyDescent="0.3">
      <c r="A9" s="7">
        <v>6</v>
      </c>
      <c r="B9" s="8"/>
      <c r="C9" s="12" t="s">
        <v>53</v>
      </c>
      <c r="D9" s="10" t="s">
        <v>17</v>
      </c>
      <c r="E9" s="11">
        <v>300000</v>
      </c>
      <c r="F9" s="11"/>
      <c r="G9" s="11">
        <f t="shared" si="0"/>
        <v>3259700</v>
      </c>
      <c r="H9" s="10"/>
    </row>
    <row r="10" spans="1:8" x14ac:dyDescent="0.3">
      <c r="A10" s="7">
        <v>7</v>
      </c>
      <c r="B10" s="8"/>
      <c r="C10" s="12" t="s">
        <v>18</v>
      </c>
      <c r="D10" s="10" t="s">
        <v>54</v>
      </c>
      <c r="E10" s="11">
        <v>450000</v>
      </c>
      <c r="F10" s="11"/>
      <c r="G10" s="11">
        <f t="shared" si="0"/>
        <v>2809700</v>
      </c>
      <c r="H10" s="10"/>
    </row>
    <row r="11" spans="1:8" x14ac:dyDescent="0.3">
      <c r="A11" s="7">
        <v>8</v>
      </c>
      <c r="B11" s="8"/>
      <c r="C11" s="12" t="s">
        <v>55</v>
      </c>
      <c r="D11" s="10" t="s">
        <v>56</v>
      </c>
      <c r="E11" s="11">
        <v>500000</v>
      </c>
      <c r="F11" s="11"/>
      <c r="G11" s="11">
        <f t="shared" si="0"/>
        <v>2309700</v>
      </c>
      <c r="H11" s="10"/>
    </row>
    <row r="12" spans="1:8" x14ac:dyDescent="0.3">
      <c r="A12" s="7">
        <v>9</v>
      </c>
      <c r="B12" s="8"/>
      <c r="C12" s="12" t="s">
        <v>25</v>
      </c>
      <c r="D12" s="10" t="s">
        <v>57</v>
      </c>
      <c r="E12" s="11">
        <v>120000</v>
      </c>
      <c r="F12" s="11"/>
      <c r="G12" s="11">
        <f t="shared" si="0"/>
        <v>2189700</v>
      </c>
      <c r="H12" s="10"/>
    </row>
    <row r="13" spans="1:8" x14ac:dyDescent="0.3">
      <c r="A13" s="7">
        <v>10</v>
      </c>
      <c r="B13" s="7"/>
      <c r="C13" s="8" t="s">
        <v>23</v>
      </c>
      <c r="D13" s="10" t="s">
        <v>24</v>
      </c>
      <c r="E13" s="11"/>
      <c r="F13" s="11">
        <v>1334700</v>
      </c>
      <c r="G13" s="11">
        <f t="shared" si="0"/>
        <v>3524400</v>
      </c>
      <c r="H13" s="10"/>
    </row>
    <row r="14" spans="1:8" x14ac:dyDescent="0.3">
      <c r="A14" s="7">
        <v>11</v>
      </c>
      <c r="B14" s="7"/>
      <c r="C14" s="12" t="s">
        <v>12</v>
      </c>
      <c r="D14" s="10" t="s">
        <v>13</v>
      </c>
      <c r="E14" s="11">
        <v>450000</v>
      </c>
      <c r="F14" s="11"/>
      <c r="G14" s="11">
        <f t="shared" si="0"/>
        <v>3074400</v>
      </c>
      <c r="H14" s="10"/>
    </row>
    <row r="15" spans="1:8" x14ac:dyDescent="0.3">
      <c r="A15" s="7">
        <v>12</v>
      </c>
      <c r="B15" s="8"/>
      <c r="C15" s="8" t="s">
        <v>14</v>
      </c>
      <c r="D15" s="10" t="s">
        <v>15</v>
      </c>
      <c r="E15" s="11"/>
      <c r="F15" s="11">
        <v>319900</v>
      </c>
      <c r="G15" s="11">
        <f t="shared" si="0"/>
        <v>3394300</v>
      </c>
      <c r="H15" s="10"/>
    </row>
    <row r="16" spans="1:8" x14ac:dyDescent="0.3">
      <c r="A16" s="7">
        <v>13</v>
      </c>
      <c r="B16" s="8"/>
      <c r="C16" s="12" t="s">
        <v>16</v>
      </c>
      <c r="D16" s="10" t="s">
        <v>27</v>
      </c>
      <c r="E16" s="11">
        <v>3100000</v>
      </c>
      <c r="F16" s="11"/>
      <c r="G16" s="11">
        <f t="shared" si="0"/>
        <v>294300</v>
      </c>
      <c r="H16" s="10"/>
    </row>
    <row r="17" spans="1:9" x14ac:dyDescent="0.3">
      <c r="A17" s="7">
        <v>14</v>
      </c>
      <c r="B17" s="7"/>
      <c r="C17" s="12" t="s">
        <v>18</v>
      </c>
      <c r="D17" s="10" t="s">
        <v>54</v>
      </c>
      <c r="E17" s="11">
        <v>450000</v>
      </c>
      <c r="F17" s="11"/>
      <c r="G17" s="11">
        <f t="shared" si="0"/>
        <v>-155700</v>
      </c>
      <c r="H17" s="10"/>
    </row>
    <row r="18" spans="1:9" x14ac:dyDescent="0.3">
      <c r="A18" s="7">
        <v>15</v>
      </c>
      <c r="B18" s="7"/>
      <c r="C18" s="12" t="s">
        <v>20</v>
      </c>
      <c r="D18" s="10" t="s">
        <v>58</v>
      </c>
      <c r="E18" s="11">
        <v>455500</v>
      </c>
      <c r="F18" s="11"/>
      <c r="G18" s="11">
        <f t="shared" si="0"/>
        <v>-611200</v>
      </c>
      <c r="H18" s="10"/>
    </row>
    <row r="19" spans="1:9" x14ac:dyDescent="0.3">
      <c r="A19" s="7">
        <v>16</v>
      </c>
      <c r="B19" s="7"/>
      <c r="C19" s="12" t="s">
        <v>20</v>
      </c>
      <c r="D19" s="10" t="s">
        <v>59</v>
      </c>
      <c r="E19" s="11">
        <v>55000</v>
      </c>
      <c r="F19" s="11"/>
      <c r="G19" s="11">
        <f t="shared" si="0"/>
        <v>-666200</v>
      </c>
      <c r="H19" s="10"/>
      <c r="I19" s="13"/>
    </row>
    <row r="20" spans="1:9" x14ac:dyDescent="0.3">
      <c r="A20" s="7">
        <v>17</v>
      </c>
      <c r="B20" s="7"/>
      <c r="C20" s="12" t="s">
        <v>60</v>
      </c>
      <c r="D20" s="10" t="s">
        <v>61</v>
      </c>
      <c r="E20" s="11">
        <v>35000</v>
      </c>
      <c r="F20" s="11"/>
      <c r="G20" s="11">
        <f t="shared" si="0"/>
        <v>-701200</v>
      </c>
      <c r="H20" s="10"/>
    </row>
    <row r="21" spans="1:9" x14ac:dyDescent="0.3">
      <c r="A21" s="7">
        <v>18</v>
      </c>
      <c r="B21" s="7"/>
      <c r="C21" s="12" t="s">
        <v>60</v>
      </c>
      <c r="D21" s="10" t="s">
        <v>62</v>
      </c>
      <c r="E21" s="11">
        <v>30000</v>
      </c>
      <c r="F21" s="11"/>
      <c r="G21" s="11">
        <f t="shared" si="0"/>
        <v>-731200</v>
      </c>
      <c r="H21" s="10"/>
    </row>
    <row r="22" spans="1:9" x14ac:dyDescent="0.3">
      <c r="A22" s="7">
        <v>19</v>
      </c>
      <c r="B22" s="7"/>
      <c r="C22" s="12" t="s">
        <v>37</v>
      </c>
      <c r="D22" s="10" t="s">
        <v>63</v>
      </c>
      <c r="E22" s="11">
        <v>66000</v>
      </c>
      <c r="F22" s="11"/>
      <c r="G22" s="11">
        <f t="shared" si="0"/>
        <v>-797200</v>
      </c>
      <c r="H22" s="10"/>
      <c r="I22" s="13"/>
    </row>
    <row r="23" spans="1:9" x14ac:dyDescent="0.3">
      <c r="A23" s="7">
        <v>20</v>
      </c>
      <c r="B23" s="7"/>
      <c r="C23" s="12" t="s">
        <v>37</v>
      </c>
      <c r="D23" s="10" t="s">
        <v>64</v>
      </c>
      <c r="E23" s="11">
        <v>10000</v>
      </c>
      <c r="F23" s="11"/>
      <c r="G23" s="11">
        <f t="shared" si="0"/>
        <v>-807200</v>
      </c>
      <c r="H23" s="10"/>
    </row>
    <row r="24" spans="1:9" x14ac:dyDescent="0.3">
      <c r="A24" s="7">
        <v>21</v>
      </c>
      <c r="B24" s="7"/>
      <c r="C24" s="12" t="s">
        <v>12</v>
      </c>
      <c r="D24" s="10" t="s">
        <v>13</v>
      </c>
      <c r="E24" s="11">
        <v>450000</v>
      </c>
      <c r="F24" s="11"/>
      <c r="G24" s="11">
        <f t="shared" si="0"/>
        <v>-1257200</v>
      </c>
      <c r="H24" s="10"/>
    </row>
    <row r="25" spans="1:9" x14ac:dyDescent="0.3">
      <c r="A25" s="7">
        <v>22</v>
      </c>
      <c r="B25" s="7"/>
      <c r="C25" s="12" t="s">
        <v>29</v>
      </c>
      <c r="D25" s="10" t="s">
        <v>42</v>
      </c>
      <c r="E25" s="11">
        <v>100000</v>
      </c>
      <c r="F25" s="11"/>
      <c r="G25" s="11">
        <f t="shared" si="0"/>
        <v>-1357200</v>
      </c>
      <c r="H25" s="10"/>
    </row>
    <row r="26" spans="1:9" x14ac:dyDescent="0.3">
      <c r="A26" s="7">
        <v>23</v>
      </c>
      <c r="B26" s="7"/>
      <c r="C26" s="12" t="s">
        <v>29</v>
      </c>
      <c r="D26" s="10" t="s">
        <v>65</v>
      </c>
      <c r="E26" s="11">
        <v>150000</v>
      </c>
      <c r="F26" s="11"/>
      <c r="G26" s="11">
        <f t="shared" si="0"/>
        <v>-1507200</v>
      </c>
      <c r="H26" s="10"/>
    </row>
    <row r="27" spans="1:9" x14ac:dyDescent="0.3">
      <c r="A27" s="7">
        <v>24</v>
      </c>
      <c r="B27" s="7"/>
      <c r="C27" s="8" t="s">
        <v>14</v>
      </c>
      <c r="D27" s="10" t="s">
        <v>15</v>
      </c>
      <c r="E27" s="11"/>
      <c r="F27" s="11">
        <v>307000</v>
      </c>
      <c r="G27" s="11">
        <f t="shared" si="0"/>
        <v>-1200200</v>
      </c>
      <c r="H27" s="10"/>
    </row>
    <row r="28" spans="1:9" x14ac:dyDescent="0.3">
      <c r="A28" s="7">
        <v>25</v>
      </c>
      <c r="B28" s="7"/>
      <c r="C28" s="12" t="s">
        <v>39</v>
      </c>
      <c r="D28" s="10" t="s">
        <v>40</v>
      </c>
      <c r="E28" s="11">
        <v>1000000</v>
      </c>
      <c r="F28" s="11"/>
      <c r="G28" s="11">
        <f t="shared" si="0"/>
        <v>-2200200</v>
      </c>
      <c r="H28" s="10"/>
    </row>
    <row r="29" spans="1:9" x14ac:dyDescent="0.3">
      <c r="A29" s="7">
        <v>26</v>
      </c>
      <c r="B29" s="7"/>
      <c r="C29" s="12" t="s">
        <v>60</v>
      </c>
      <c r="D29" s="10" t="s">
        <v>66</v>
      </c>
      <c r="E29" s="11">
        <v>205000</v>
      </c>
      <c r="F29" s="11"/>
      <c r="G29" s="11">
        <f t="shared" si="0"/>
        <v>-2405200</v>
      </c>
      <c r="H29" s="10"/>
    </row>
    <row r="30" spans="1:9" x14ac:dyDescent="0.3">
      <c r="A30" s="7">
        <v>27</v>
      </c>
      <c r="B30" s="7"/>
      <c r="C30" s="12" t="s">
        <v>12</v>
      </c>
      <c r="D30" s="10" t="s">
        <v>13</v>
      </c>
      <c r="E30" s="11">
        <v>450000</v>
      </c>
      <c r="F30" s="11"/>
      <c r="G30" s="11">
        <f t="shared" si="0"/>
        <v>-2855200</v>
      </c>
      <c r="H30" s="10"/>
    </row>
    <row r="31" spans="1:9" x14ac:dyDescent="0.3">
      <c r="A31" s="7">
        <v>28</v>
      </c>
      <c r="B31" s="7"/>
      <c r="C31" s="12" t="s">
        <v>29</v>
      </c>
      <c r="D31" s="10" t="s">
        <v>36</v>
      </c>
      <c r="E31" s="11">
        <v>60000</v>
      </c>
      <c r="F31" s="11"/>
      <c r="G31" s="11">
        <f t="shared" si="0"/>
        <v>-2915200</v>
      </c>
      <c r="H31" s="10"/>
    </row>
    <row r="32" spans="1:9" x14ac:dyDescent="0.3">
      <c r="A32" s="7">
        <v>29</v>
      </c>
      <c r="B32" s="7"/>
      <c r="C32" s="8" t="s">
        <v>23</v>
      </c>
      <c r="D32" s="10" t="s">
        <v>24</v>
      </c>
      <c r="E32" s="11"/>
      <c r="F32" s="11">
        <v>2038000</v>
      </c>
      <c r="G32" s="11">
        <f t="shared" si="0"/>
        <v>-877200</v>
      </c>
      <c r="H32" s="10"/>
    </row>
    <row r="33" spans="1:8" x14ac:dyDescent="0.3">
      <c r="A33" s="7">
        <v>30</v>
      </c>
      <c r="B33" s="7"/>
      <c r="C33" s="8" t="s">
        <v>14</v>
      </c>
      <c r="D33" s="10" t="s">
        <v>15</v>
      </c>
      <c r="E33" s="11"/>
      <c r="F33" s="11">
        <v>352000</v>
      </c>
      <c r="G33" s="11">
        <f t="shared" si="0"/>
        <v>-525200</v>
      </c>
      <c r="H33" s="10"/>
    </row>
    <row r="34" spans="1:8" x14ac:dyDescent="0.3">
      <c r="A34" s="7">
        <v>31</v>
      </c>
      <c r="B34" s="7"/>
      <c r="C34" s="8" t="s">
        <v>23</v>
      </c>
      <c r="D34" s="10" t="s">
        <v>24</v>
      </c>
      <c r="E34" s="11"/>
      <c r="F34" s="11">
        <v>1410700</v>
      </c>
      <c r="G34" s="11">
        <f t="shared" si="0"/>
        <v>885500</v>
      </c>
      <c r="H34" s="10"/>
    </row>
    <row r="35" spans="1:8" s="15" customFormat="1" x14ac:dyDescent="0.3">
      <c r="D35" s="17" t="s">
        <v>49</v>
      </c>
      <c r="E35" s="11"/>
      <c r="F35" s="18"/>
      <c r="G35" s="11">
        <f>G4</f>
        <v>2433200</v>
      </c>
    </row>
    <row r="36" spans="1:8" s="15" customFormat="1" x14ac:dyDescent="0.3">
      <c r="D36" s="17" t="s">
        <v>47</v>
      </c>
      <c r="E36" s="11"/>
      <c r="F36" s="11">
        <f>SUM(F5:F34)</f>
        <v>7638800</v>
      </c>
      <c r="G36" s="11"/>
      <c r="H36" s="19"/>
    </row>
    <row r="37" spans="1:8" x14ac:dyDescent="0.3">
      <c r="D37" s="17" t="s">
        <v>48</v>
      </c>
      <c r="E37" s="11">
        <f>SUM(E5:E34)</f>
        <v>9186500</v>
      </c>
      <c r="F37" s="11"/>
      <c r="G37" s="11"/>
    </row>
    <row r="38" spans="1:8" x14ac:dyDescent="0.3">
      <c r="D38" s="17" t="s">
        <v>67</v>
      </c>
      <c r="E38" s="10"/>
      <c r="F38" s="11"/>
      <c r="G38" s="11">
        <f>G35+F36-E37</f>
        <v>885500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JAN,26</vt:lpstr>
      <vt:lpstr>FEB,26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Hafiz Office</cp:lastModifiedBy>
  <dcterms:created xsi:type="dcterms:W3CDTF">2026-06-30T08:59:18Z</dcterms:created>
  <dcterms:modified xsi:type="dcterms:W3CDTF">2026-06-30T23:28:15Z</dcterms:modified>
</cp:coreProperties>
</file>